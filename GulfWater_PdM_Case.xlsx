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Calc" sheetId="2" r:id="rId6"/>
    <sheet state="visible" name="Sensitivity" sheetId="3" r:id="rId7"/>
  </sheets>
  <definedNames/>
  <calcPr/>
</workbook>
</file>

<file path=xl/sharedStrings.xml><?xml version="1.0" encoding="utf-8"?>
<sst xmlns="http://schemas.openxmlformats.org/spreadsheetml/2006/main" count="115" uniqueCount="79">
  <si>
    <t>LINE</t>
  </si>
  <si>
    <t>Unit</t>
  </si>
  <si>
    <t>Conservative</t>
  </si>
  <si>
    <t>Base</t>
  </si>
  <si>
    <t>Upside</t>
  </si>
  <si>
    <t>Parameter</t>
  </si>
  <si>
    <t>Failures per year</t>
  </si>
  <si>
    <t>#</t>
  </si>
  <si>
    <t>Source/rationale</t>
  </si>
  <si>
    <t>Pumps in fleet</t>
  </si>
  <si>
    <t>Client scenario</t>
  </si>
  <si>
    <t>Unplanned Failures per pump per year</t>
  </si>
  <si>
    <t>Assumption. The data pump failed about 17 times a year, which I treated as an outlier</t>
  </si>
  <si>
    <t>Repair cost at planned rates</t>
  </si>
  <si>
    <t>$</t>
  </si>
  <si>
    <t>Illustrative: parts and labour</t>
  </si>
  <si>
    <t>Emergency premium</t>
  </si>
  <si>
    <t>x</t>
  </si>
  <si>
    <t>Emergency callouts outside standard hours typically run at 1.5 to 2 times the standard labor rate.</t>
  </si>
  <si>
    <t>Secondary damage</t>
  </si>
  <si>
    <t>llustrative: seals, bearings and motor damage when a pump fails while running</t>
  </si>
  <si>
    <t xml:space="preserve">Hours out of service </t>
  </si>
  <si>
    <t>h</t>
  </si>
  <si>
    <t>Illustrative</t>
  </si>
  <si>
    <t>Cost per hour out of service</t>
  </si>
  <si>
    <t>Illustrative: running the standby pump, water tankering, SLA penalties</t>
  </si>
  <si>
    <t>Cost of caught failure, as % of unplanned one</t>
  </si>
  <si>
    <t>%</t>
  </si>
  <si>
    <t>Model gives 2 hour notice, enough to switch to standby pumps</t>
  </si>
  <si>
    <t>Catch rate</t>
  </si>
  <si>
    <t>Cost per unplanned failure</t>
  </si>
  <si>
    <t>Model: 1 of 2 failures in the test period. The range reflects the small sample</t>
  </si>
  <si>
    <t>False alarms per pump  per year</t>
  </si>
  <si>
    <t>Model: 4 in 59 days, about 25 a year</t>
  </si>
  <si>
    <t>Cost per false alarm</t>
  </si>
  <si>
    <t>About 2 hours of engineer time with an occasional site visit</t>
  </si>
  <si>
    <t>Sensors and edge device per pump</t>
  </si>
  <si>
    <t>Integration and commissioning (one-off)</t>
  </si>
  <si>
    <t>Software per pump per year</t>
  </si>
  <si>
    <t>Support per year</t>
  </si>
  <si>
    <t>Discount rate</t>
  </si>
  <si>
    <t>Standard assumption</t>
  </si>
  <si>
    <t>Cost per caught failure</t>
  </si>
  <si>
    <t>Annual cost today</t>
  </si>
  <si>
    <t>Failures caught</t>
  </si>
  <si>
    <t>Failures missed</t>
  </si>
  <si>
    <t>False alarms per year</t>
  </si>
  <si>
    <t>Annual cost with predictive maintenance</t>
  </si>
  <si>
    <t>Gross savings</t>
  </si>
  <si>
    <t>Savings %</t>
  </si>
  <si>
    <t>Running cost</t>
  </si>
  <si>
    <t>Net annual benefit</t>
  </si>
  <si>
    <t>Upfront investment</t>
  </si>
  <si>
    <t>Payback (months)</t>
  </si>
  <si>
    <t>3-year NPV</t>
  </si>
  <si>
    <t>Break-even false-alarm cost</t>
  </si>
  <si>
    <t>Driver</t>
  </si>
  <si>
    <t>Low</t>
  </si>
  <si>
    <t>High</t>
  </si>
  <si>
    <t>Net benefit at low</t>
  </si>
  <si>
    <t>Net benefit at high</t>
  </si>
  <si>
    <t>Swing</t>
  </si>
  <si>
    <t>Downside v/s base</t>
  </si>
  <si>
    <t>Upside v/s base</t>
  </si>
  <si>
    <t>Failures per pump/yr (1.5 – 3)</t>
  </si>
  <si>
    <t>Catch rate (40% – 70%)</t>
  </si>
  <si>
    <t>Cost per failure ($20k – $35k)</t>
  </si>
  <si>
    <t>False alarms per pump/yr (37 – 12)</t>
  </si>
  <si>
    <t>Cost per false alarm ($400 – $150)</t>
  </si>
  <si>
    <t>Caught failure cost (50% – 30%)</t>
  </si>
  <si>
    <t>Base case inputs</t>
  </si>
  <si>
    <t>Pumps</t>
  </si>
  <si>
    <t>Failures per pump per year</t>
  </si>
  <si>
    <t>Cost per unplanned failure ($)</t>
  </si>
  <si>
    <t>Caught failure cost (% of unplanned)</t>
  </si>
  <si>
    <t>False alarms per pump per year</t>
  </si>
  <si>
    <t>Cost per false alarm ($)</t>
  </si>
  <si>
    <t>Running cost per year ($)</t>
  </si>
  <si>
    <t>Base net benefit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</si>
</sst>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2.0"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Menlo"/>
    </font>
    <font>
      <b/>
      <sz val="15.0"/>
      <color theme="1"/>
      <name val="Calibri"/>
      <scheme val="minor"/>
    </font>
    <font>
      <sz val="15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Font="1" applyNumberFormat="1"/>
    <xf borderId="0" fillId="2" fontId="4" numFmtId="0" xfId="0" applyFill="1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Failure frequency and catch rate drive the value. Alarm handling is the lever the client controls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Sensitivity!$A$2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Sensitivity!$B$1:$H$1</c:f>
            </c:strRef>
          </c:cat>
          <c:val>
            <c:numRef>
              <c:f>Sensitivity!$B$2:$H$2</c:f>
              <c:numCache/>
            </c:numRef>
          </c:val>
        </c:ser>
        <c:ser>
          <c:idx val="1"/>
          <c:order val="1"/>
          <c:tx>
            <c:strRef>
              <c:f>Sensitivity!$A$3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Sensitivity!$B$1:$H$1</c:f>
            </c:strRef>
          </c:cat>
          <c:val>
            <c:numRef>
              <c:f>Sensitivity!$B$3:$H$3</c:f>
              <c:numCache/>
            </c:numRef>
          </c:val>
        </c:ser>
        <c:ser>
          <c:idx val="2"/>
          <c:order val="2"/>
          <c:tx>
            <c:strRef>
              <c:f>Sensitivity!$A$4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Sensitivity!$B$1:$H$1</c:f>
            </c:strRef>
          </c:cat>
          <c:val>
            <c:numRef>
              <c:f>Sensitivity!$B$4:$H$4</c:f>
              <c:numCache/>
            </c:numRef>
          </c:val>
        </c:ser>
        <c:ser>
          <c:idx val="3"/>
          <c:order val="3"/>
          <c:tx>
            <c:strRef>
              <c:f>Sensitivity!$A$5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Sensitivity!$B$1:$H$1</c:f>
            </c:strRef>
          </c:cat>
          <c:val>
            <c:numRef>
              <c:f>Sensitivity!$B$5:$H$5</c:f>
              <c:numCache/>
            </c:numRef>
          </c:val>
        </c:ser>
        <c:ser>
          <c:idx val="4"/>
          <c:order val="4"/>
          <c:tx>
            <c:strRef>
              <c:f>Sensitivity!$A$6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Sensitivity!$B$1:$H$1</c:f>
            </c:strRef>
          </c:cat>
          <c:val>
            <c:numRef>
              <c:f>Sensitivity!$B$6:$H$6</c:f>
              <c:numCache/>
            </c:numRef>
          </c:val>
        </c:ser>
        <c:ser>
          <c:idx val="5"/>
          <c:order val="5"/>
          <c:tx>
            <c:strRef>
              <c:f>Sensitivity!$A$7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Sensitivity!$B$1:$H$1</c:f>
            </c:strRef>
          </c:cat>
          <c:val>
            <c:numRef>
              <c:f>Sensitivity!$B$7:$H$7</c:f>
              <c:numCache/>
            </c:numRef>
          </c:val>
        </c:ser>
        <c:overlap val="100"/>
        <c:axId val="972405190"/>
        <c:axId val="1577255755"/>
      </c:barChart>
      <c:catAx>
        <c:axId val="9724051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Driver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255755"/>
      </c:catAx>
      <c:valAx>
        <c:axId val="15772557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Change in net annual benefit vs base case ($1.1M)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4051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638175</xdr:colOff>
      <xdr:row>7</xdr:row>
      <xdr:rowOff>152400</xdr:rowOff>
    </xdr:from>
    <xdr:ext cx="7810500" cy="4829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0.44"/>
    <col customWidth="1" min="2" max="2" width="4.89"/>
    <col customWidth="1" min="3" max="3" width="13.56"/>
    <col customWidth="1" min="6" max="6" width="71.11"/>
  </cols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>
      <c r="A2" s="2" t="s">
        <v>9</v>
      </c>
      <c r="B2" s="2" t="s">
        <v>7</v>
      </c>
      <c r="C2" s="2">
        <v>120.0</v>
      </c>
      <c r="D2" s="2">
        <v>120.0</v>
      </c>
      <c r="E2" s="2">
        <v>120.0</v>
      </c>
      <c r="F2" s="2" t="s">
        <v>10</v>
      </c>
    </row>
    <row r="3">
      <c r="A3" s="2" t="s">
        <v>11</v>
      </c>
      <c r="B3" s="2" t="s">
        <v>7</v>
      </c>
      <c r="C3" s="2">
        <v>2.0</v>
      </c>
      <c r="D3" s="2">
        <v>2.0</v>
      </c>
      <c r="E3" s="2">
        <v>2.0</v>
      </c>
      <c r="F3" s="2" t="s">
        <v>12</v>
      </c>
    </row>
    <row r="4">
      <c r="A4" s="2" t="s">
        <v>13</v>
      </c>
      <c r="B4" s="2" t="s">
        <v>14</v>
      </c>
      <c r="C4" s="2">
        <v>8000.0</v>
      </c>
      <c r="D4" s="2">
        <v>8000.0</v>
      </c>
      <c r="E4" s="2">
        <v>8000.0</v>
      </c>
      <c r="F4" s="2" t="s">
        <v>15</v>
      </c>
    </row>
    <row r="5">
      <c r="A5" s="2" t="s">
        <v>16</v>
      </c>
      <c r="B5" s="2" t="s">
        <v>17</v>
      </c>
      <c r="C5" s="2">
        <v>1.75</v>
      </c>
      <c r="D5" s="2">
        <v>1.75</v>
      </c>
      <c r="E5" s="2">
        <v>1.75</v>
      </c>
      <c r="F5" s="2" t="s">
        <v>18</v>
      </c>
    </row>
    <row r="6">
      <c r="A6" s="2" t="s">
        <v>19</v>
      </c>
      <c r="B6" s="2" t="s">
        <v>14</v>
      </c>
      <c r="C6" s="2">
        <v>6000.0</v>
      </c>
      <c r="D6" s="2">
        <v>6000.0</v>
      </c>
      <c r="E6" s="2">
        <v>6000.0</v>
      </c>
      <c r="F6" s="2" t="s">
        <v>20</v>
      </c>
    </row>
    <row r="7">
      <c r="A7" s="2" t="s">
        <v>21</v>
      </c>
      <c r="B7" s="2" t="s">
        <v>22</v>
      </c>
      <c r="C7" s="2">
        <v>24.0</v>
      </c>
      <c r="D7" s="2">
        <v>24.0</v>
      </c>
      <c r="E7" s="2">
        <v>24.0</v>
      </c>
      <c r="F7" s="2" t="s">
        <v>23</v>
      </c>
    </row>
    <row r="8">
      <c r="A8" s="2" t="s">
        <v>24</v>
      </c>
      <c r="B8" s="2" t="s">
        <v>14</v>
      </c>
      <c r="C8" s="2">
        <v>300.0</v>
      </c>
      <c r="D8" s="2">
        <v>300.0</v>
      </c>
      <c r="E8" s="2">
        <v>300.0</v>
      </c>
      <c r="F8" s="2" t="s">
        <v>25</v>
      </c>
    </row>
    <row r="9">
      <c r="A9" s="2" t="s">
        <v>26</v>
      </c>
      <c r="B9" s="2" t="s">
        <v>27</v>
      </c>
      <c r="C9" s="4">
        <v>0.5</v>
      </c>
      <c r="D9" s="4">
        <v>0.4</v>
      </c>
      <c r="E9" s="4">
        <v>0.3</v>
      </c>
      <c r="F9" s="2" t="s">
        <v>28</v>
      </c>
    </row>
    <row r="10">
      <c r="A10" s="2" t="s">
        <v>29</v>
      </c>
      <c r="B10" s="2" t="s">
        <v>27</v>
      </c>
      <c r="C10" s="4">
        <v>0.4</v>
      </c>
      <c r="D10" s="4">
        <v>0.5</v>
      </c>
      <c r="E10" s="4">
        <v>0.7</v>
      </c>
      <c r="F10" s="2" t="s">
        <v>31</v>
      </c>
      <c r="G10" s="2"/>
    </row>
    <row r="11">
      <c r="A11" s="2" t="s">
        <v>32</v>
      </c>
      <c r="B11" s="2" t="s">
        <v>7</v>
      </c>
      <c r="C11" s="2">
        <v>30.0</v>
      </c>
      <c r="D11" s="2">
        <v>25.0</v>
      </c>
      <c r="E11" s="2">
        <v>12.0</v>
      </c>
      <c r="F11" s="2" t="s">
        <v>33</v>
      </c>
    </row>
    <row r="12">
      <c r="A12" s="2" t="s">
        <v>34</v>
      </c>
      <c r="B12" s="2" t="s">
        <v>14</v>
      </c>
      <c r="C12" s="2">
        <v>300.0</v>
      </c>
      <c r="D12" s="2">
        <v>250.0</v>
      </c>
      <c r="E12" s="2">
        <v>150.0</v>
      </c>
      <c r="F12" s="2" t="s">
        <v>35</v>
      </c>
    </row>
    <row r="13">
      <c r="A13" s="2" t="s">
        <v>36</v>
      </c>
      <c r="B13" s="2" t="s">
        <v>14</v>
      </c>
      <c r="C13" s="2">
        <v>2500.0</v>
      </c>
      <c r="D13" s="2">
        <v>2500.0</v>
      </c>
      <c r="E13" s="2">
        <v>2500.0</v>
      </c>
      <c r="F13" s="2" t="s">
        <v>23</v>
      </c>
    </row>
    <row r="14">
      <c r="A14" s="2" t="s">
        <v>37</v>
      </c>
      <c r="B14" s="2" t="s">
        <v>14</v>
      </c>
      <c r="C14" s="2">
        <v>100000.0</v>
      </c>
      <c r="D14" s="2">
        <v>100000.0</v>
      </c>
      <c r="E14" s="2">
        <v>100000.0</v>
      </c>
      <c r="F14" s="2" t="s">
        <v>23</v>
      </c>
    </row>
    <row r="15">
      <c r="A15" s="2" t="s">
        <v>38</v>
      </c>
      <c r="B15" s="2" t="s">
        <v>14</v>
      </c>
      <c r="C15" s="2">
        <v>600.0</v>
      </c>
      <c r="D15" s="2">
        <v>600.0</v>
      </c>
      <c r="E15" s="2">
        <v>600.0</v>
      </c>
      <c r="F15" s="2" t="s">
        <v>23</v>
      </c>
    </row>
    <row r="16">
      <c r="A16" s="2" t="s">
        <v>39</v>
      </c>
      <c r="B16" s="2" t="s">
        <v>14</v>
      </c>
      <c r="C16" s="2">
        <v>30000.0</v>
      </c>
      <c r="D16" s="2">
        <v>30000.0</v>
      </c>
      <c r="E16" s="2">
        <v>30000.0</v>
      </c>
      <c r="F16" s="2" t="s">
        <v>23</v>
      </c>
    </row>
    <row r="17">
      <c r="A17" s="2" t="s">
        <v>40</v>
      </c>
      <c r="B17" s="2" t="s">
        <v>27</v>
      </c>
      <c r="C17" s="4">
        <v>0.1</v>
      </c>
      <c r="D17" s="4">
        <v>0.1</v>
      </c>
      <c r="E17" s="4">
        <v>0.1</v>
      </c>
      <c r="F17" s="2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7.11"/>
    <col customWidth="1" min="2" max="2" width="5.22"/>
    <col customWidth="1" min="3" max="3" width="28.0"/>
    <col customWidth="1" min="4" max="4" width="20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6</v>
      </c>
      <c r="B2" s="2" t="s">
        <v>7</v>
      </c>
      <c r="C2" s="3">
        <f>Inputs!C2*Inputs!C3</f>
        <v>240</v>
      </c>
      <c r="D2" s="3">
        <f>Inputs!D2*Inputs!D3</f>
        <v>240</v>
      </c>
      <c r="E2" s="3">
        <f>Inputs!E2*Inputs!E3</f>
        <v>240</v>
      </c>
    </row>
    <row r="3">
      <c r="A3" s="2" t="s">
        <v>30</v>
      </c>
      <c r="B3" s="2" t="s">
        <v>14</v>
      </c>
      <c r="C3" s="3">
        <f>Inputs!C4*Inputs!C5+Inputs!C6+Inputs!C7*Inputs!C8</f>
        <v>27200</v>
      </c>
      <c r="D3" s="3">
        <f>Inputs!D4*Inputs!D5+Inputs!D6+Inputs!D7*Inputs!D8</f>
        <v>27200</v>
      </c>
      <c r="E3" s="3">
        <f>Inputs!E4*Inputs!E5+Inputs!E6+Inputs!E7*Inputs!E8</f>
        <v>27200</v>
      </c>
    </row>
    <row r="4">
      <c r="A4" s="2" t="s">
        <v>42</v>
      </c>
      <c r="B4" s="2" t="s">
        <v>14</v>
      </c>
      <c r="C4" s="3">
        <f>C3*Inputs!C9</f>
        <v>13600</v>
      </c>
      <c r="D4" s="3">
        <f>D3*Inputs!D9</f>
        <v>10880</v>
      </c>
      <c r="E4" s="3">
        <f>E3*Inputs!E9</f>
        <v>8160</v>
      </c>
    </row>
    <row r="5">
      <c r="A5" s="5" t="s">
        <v>43</v>
      </c>
      <c r="B5" s="2" t="s">
        <v>14</v>
      </c>
      <c r="C5" s="3">
        <f t="shared" ref="C5:E5" si="1">MULTIPLY(C2,C3)</f>
        <v>6528000</v>
      </c>
      <c r="D5" s="3">
        <f t="shared" si="1"/>
        <v>6528000</v>
      </c>
      <c r="E5" s="3">
        <f t="shared" si="1"/>
        <v>6528000</v>
      </c>
    </row>
    <row r="6">
      <c r="A6" s="2" t="s">
        <v>44</v>
      </c>
      <c r="B6" s="2" t="s">
        <v>7</v>
      </c>
      <c r="C6" s="3">
        <f>C2*Inputs!C10</f>
        <v>96</v>
      </c>
      <c r="D6" s="3">
        <f>D2*Inputs!D10</f>
        <v>120</v>
      </c>
      <c r="E6" s="3">
        <f>E2*Inputs!E10</f>
        <v>168</v>
      </c>
    </row>
    <row r="7">
      <c r="A7" s="2" t="s">
        <v>45</v>
      </c>
      <c r="B7" s="2" t="s">
        <v>7</v>
      </c>
      <c r="C7" s="3">
        <f t="shared" ref="C7:E7" si="2">C2-C6</f>
        <v>144</v>
      </c>
      <c r="D7" s="3">
        <f t="shared" si="2"/>
        <v>120</v>
      </c>
      <c r="E7" s="3">
        <f t="shared" si="2"/>
        <v>72</v>
      </c>
    </row>
    <row r="8">
      <c r="A8" s="2" t="s">
        <v>46</v>
      </c>
      <c r="B8" s="2" t="s">
        <v>7</v>
      </c>
      <c r="C8" s="3">
        <f>Inputs!C2*Inputs!C11</f>
        <v>3600</v>
      </c>
      <c r="D8" s="3">
        <f>Inputs!D2*Inputs!D11</f>
        <v>3000</v>
      </c>
      <c r="E8" s="3">
        <f>Inputs!E2*Inputs!E11</f>
        <v>1440</v>
      </c>
    </row>
    <row r="9">
      <c r="A9" s="5" t="s">
        <v>47</v>
      </c>
      <c r="B9" s="2" t="s">
        <v>14</v>
      </c>
      <c r="C9" s="3">
        <f>C6*C4+C7*C3+C8*Inputs!C12</f>
        <v>6302400</v>
      </c>
      <c r="D9" s="3">
        <f>D6*D4+D7*D3+D8*Inputs!D12</f>
        <v>5319600</v>
      </c>
      <c r="E9" s="3">
        <f>E6*E4+E7*E3+E8*Inputs!E12</f>
        <v>3545280</v>
      </c>
    </row>
    <row r="10">
      <c r="A10" s="2" t="s">
        <v>48</v>
      </c>
      <c r="B10" s="2" t="s">
        <v>14</v>
      </c>
      <c r="C10" s="3">
        <f t="shared" ref="C10:E10" si="3">C5-C9</f>
        <v>225600</v>
      </c>
      <c r="D10" s="3">
        <f t="shared" si="3"/>
        <v>1208400</v>
      </c>
      <c r="E10" s="3">
        <f t="shared" si="3"/>
        <v>2982720</v>
      </c>
    </row>
    <row r="11">
      <c r="A11" s="2" t="s">
        <v>49</v>
      </c>
      <c r="B11" s="2" t="s">
        <v>27</v>
      </c>
      <c r="C11" s="2">
        <f t="shared" ref="C11:E11" si="4">C10/C5*100</f>
        <v>3.455882353</v>
      </c>
      <c r="D11" s="2">
        <f t="shared" si="4"/>
        <v>18.51102941</v>
      </c>
      <c r="E11" s="2">
        <f t="shared" si="4"/>
        <v>45.69117647</v>
      </c>
    </row>
    <row r="12">
      <c r="A12" s="2" t="s">
        <v>50</v>
      </c>
      <c r="B12" s="2" t="s">
        <v>14</v>
      </c>
      <c r="C12" s="3">
        <f>Inputs!C2*Inputs!C15+Inputs!C16</f>
        <v>102000</v>
      </c>
      <c r="D12" s="3">
        <f>Inputs!D2*Inputs!D15+Inputs!D16</f>
        <v>102000</v>
      </c>
      <c r="E12" s="3">
        <f>Inputs!E2*Inputs!E15+Inputs!E16</f>
        <v>102000</v>
      </c>
    </row>
    <row r="13">
      <c r="A13" s="5" t="s">
        <v>51</v>
      </c>
      <c r="B13" s="2" t="s">
        <v>14</v>
      </c>
      <c r="C13" s="3">
        <f t="shared" ref="C13:E13" si="5">C10-C12</f>
        <v>123600</v>
      </c>
      <c r="D13" s="3">
        <f t="shared" si="5"/>
        <v>1106400</v>
      </c>
      <c r="E13" s="3">
        <f t="shared" si="5"/>
        <v>2880720</v>
      </c>
    </row>
    <row r="14">
      <c r="A14" s="2" t="s">
        <v>52</v>
      </c>
      <c r="B14" s="2" t="s">
        <v>14</v>
      </c>
      <c r="C14" s="3">
        <f>Inputs!C2*Inputs!C13+Inputs!C14</f>
        <v>400000</v>
      </c>
      <c r="D14" s="3">
        <f>Inputs!D2*Inputs!D13+Inputs!D14</f>
        <v>400000</v>
      </c>
      <c r="E14" s="3">
        <f>Inputs!E2*Inputs!E13+Inputs!E14</f>
        <v>400000</v>
      </c>
    </row>
    <row r="15">
      <c r="A15" s="5" t="s">
        <v>53</v>
      </c>
      <c r="B15" s="2" t="s">
        <v>7</v>
      </c>
      <c r="C15" s="3">
        <f t="shared" ref="C15:E15" si="6">if(C13&gt;0, C14/C13*12, "n/a")</f>
        <v>38.83495146</v>
      </c>
      <c r="D15" s="3">
        <f t="shared" si="6"/>
        <v>4.338394794</v>
      </c>
      <c r="E15" s="3">
        <f t="shared" si="6"/>
        <v>1.666250104</v>
      </c>
    </row>
    <row r="16">
      <c r="A16" s="5" t="s">
        <v>54</v>
      </c>
      <c r="B16" s="2" t="s">
        <v>14</v>
      </c>
      <c r="C16" s="6">
        <f t="array" ref="C16">NPV(Inputs!C17,C13,C13,C13)-C14</f>
        <v>-92625.09391</v>
      </c>
      <c r="D16" s="6">
        <f t="array" ref="D16">NPV(Inputs!D17,D13,D13,D13)-D14</f>
        <v>2351453.043</v>
      </c>
      <c r="E16" s="6">
        <f t="array" ref="E16">NPV(Inputs!E17,E13,E13,E13)-E14</f>
        <v>6763924.267</v>
      </c>
    </row>
    <row r="17">
      <c r="A17" s="5" t="s">
        <v>55</v>
      </c>
      <c r="B17" s="2" t="s">
        <v>14</v>
      </c>
      <c r="C17" s="3">
        <f t="shared" ref="C17:E17" si="7">(C5-C6*C4-C7*C3-C12)/C8</f>
        <v>334.3333333</v>
      </c>
      <c r="D17" s="3">
        <f t="shared" si="7"/>
        <v>618.8</v>
      </c>
      <c r="E17" s="3">
        <f t="shared" si="7"/>
        <v>2150.5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7.0"/>
    <col customWidth="1" min="2" max="3" width="13.0"/>
    <col customWidth="1" min="4" max="4" width="18.67"/>
    <col customWidth="1" min="5" max="5" width="19.56"/>
    <col customWidth="1" min="7" max="7" width="19.56"/>
    <col customWidth="1" min="8" max="8" width="17.44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>
      <c r="A2" s="2" t="s">
        <v>64</v>
      </c>
      <c r="B2" s="2">
        <v>1.5</v>
      </c>
      <c r="C2" s="2">
        <v>3.0</v>
      </c>
      <c r="D2" s="7">
        <f t="shared" ref="D2:E2" si="1">$B$11*B2*$B$13*$B$14*(1-$B$15)-$B$11*$B$16*$B$17-$B$18</f>
        <v>616800</v>
      </c>
      <c r="E2" s="7">
        <f t="shared" si="1"/>
        <v>2085600</v>
      </c>
      <c r="F2" s="7">
        <f t="shared" ref="F2:F7" si="4">E2-D2</f>
        <v>1468800</v>
      </c>
      <c r="G2" s="3">
        <f t="shared" ref="G2:H2" si="2">D2-$B$19</f>
        <v>-489600</v>
      </c>
      <c r="H2" s="3">
        <f t="shared" si="2"/>
        <v>979200</v>
      </c>
    </row>
    <row r="3">
      <c r="A3" s="2" t="s">
        <v>65</v>
      </c>
      <c r="B3" s="2">
        <v>0.4</v>
      </c>
      <c r="C3" s="2">
        <v>0.7</v>
      </c>
      <c r="D3" s="7">
        <f t="shared" ref="D3:E3" si="3">$B$11*$B$12*$B$13*B3*(1-$B$15)-$B$11*$B$16*$B$17-$B$18</f>
        <v>714720</v>
      </c>
      <c r="E3" s="7">
        <f t="shared" si="3"/>
        <v>1889760</v>
      </c>
      <c r="F3" s="7">
        <f t="shared" si="4"/>
        <v>1175040</v>
      </c>
      <c r="G3" s="3">
        <f t="shared" ref="G3:H3" si="5">D3-$B$19</f>
        <v>-391680</v>
      </c>
      <c r="H3" s="3">
        <f t="shared" si="5"/>
        <v>783360</v>
      </c>
    </row>
    <row r="4">
      <c r="A4" s="2" t="s">
        <v>66</v>
      </c>
      <c r="B4" s="2">
        <v>20000.0</v>
      </c>
      <c r="C4" s="2">
        <v>35000.0</v>
      </c>
      <c r="D4" s="7">
        <f t="shared" ref="D4:E4" si="6">$B$11*$B$12*B4*$B$14*(1-$B$15)-$B$11*$B$16*$B$17-$B$18</f>
        <v>588000</v>
      </c>
      <c r="E4" s="7">
        <f t="shared" si="6"/>
        <v>1668000</v>
      </c>
      <c r="F4" s="7">
        <f t="shared" si="4"/>
        <v>1080000</v>
      </c>
      <c r="G4" s="3">
        <f t="shared" ref="G4:H4" si="7">D4-$B$19</f>
        <v>-518400</v>
      </c>
      <c r="H4" s="3">
        <f t="shared" si="7"/>
        <v>561600</v>
      </c>
    </row>
    <row r="5">
      <c r="A5" s="2" t="s">
        <v>67</v>
      </c>
      <c r="B5" s="2">
        <v>37.0</v>
      </c>
      <c r="C5" s="2">
        <v>12.0</v>
      </c>
      <c r="D5" s="7">
        <f t="shared" ref="D5:E5" si="8">$B$11*$B$12*$B$13*$B$14*(1-$B$15)-$B$11*B5*$B$17-$B$18</f>
        <v>746400</v>
      </c>
      <c r="E5" s="7">
        <f t="shared" si="8"/>
        <v>1496400</v>
      </c>
      <c r="F5" s="7">
        <f t="shared" si="4"/>
        <v>750000</v>
      </c>
      <c r="G5" s="3">
        <f t="shared" ref="G5:H5" si="9">D5-$B$19</f>
        <v>-360000</v>
      </c>
      <c r="H5" s="3">
        <f t="shared" si="9"/>
        <v>390000</v>
      </c>
    </row>
    <row r="6">
      <c r="A6" s="2" t="s">
        <v>68</v>
      </c>
      <c r="B6" s="2">
        <v>400.0</v>
      </c>
      <c r="C6" s="2">
        <v>150.0</v>
      </c>
      <c r="D6" s="7">
        <f t="shared" ref="D6:E6" si="10">$B$11*$B$12*$B$13*$B$14*(1-$B$15)-$B$11*$B$16*B6-$B$18</f>
        <v>656400</v>
      </c>
      <c r="E6" s="7">
        <f t="shared" si="10"/>
        <v>1406400</v>
      </c>
      <c r="F6" s="7">
        <f t="shared" si="4"/>
        <v>750000</v>
      </c>
      <c r="G6" s="3">
        <f t="shared" ref="G6:H6" si="11">D6-$B$19</f>
        <v>-450000</v>
      </c>
      <c r="H6" s="3">
        <f t="shared" si="11"/>
        <v>300000</v>
      </c>
    </row>
    <row r="7">
      <c r="A7" s="2" t="s">
        <v>69</v>
      </c>
      <c r="B7" s="2">
        <v>0.5</v>
      </c>
      <c r="C7" s="2">
        <v>0.3</v>
      </c>
      <c r="D7" s="7">
        <f t="shared" ref="D7:E7" si="12">$B$11*$B$12*$B$13*$B$14*(1-B7)-$B$11*$B$16*$B$17-$B$18</f>
        <v>780000</v>
      </c>
      <c r="E7" s="7">
        <f t="shared" si="12"/>
        <v>1432800</v>
      </c>
      <c r="F7" s="7">
        <f t="shared" si="4"/>
        <v>652800</v>
      </c>
      <c r="G7" s="3">
        <f t="shared" ref="G7:H7" si="13">D7-$B$19</f>
        <v>-326400</v>
      </c>
      <c r="H7" s="3">
        <f t="shared" si="13"/>
        <v>326400</v>
      </c>
    </row>
    <row r="10">
      <c r="A10" s="8" t="s">
        <v>70</v>
      </c>
      <c r="B10" s="9"/>
    </row>
    <row r="11">
      <c r="A11" s="10" t="s">
        <v>71</v>
      </c>
      <c r="B11" s="10">
        <v>120.0</v>
      </c>
    </row>
    <row r="12">
      <c r="A12" s="10" t="s">
        <v>72</v>
      </c>
      <c r="B12" s="10">
        <v>2.0</v>
      </c>
    </row>
    <row r="13">
      <c r="A13" s="10" t="s">
        <v>73</v>
      </c>
      <c r="B13" s="10">
        <v>27200.0</v>
      </c>
    </row>
    <row r="14">
      <c r="A14" s="10" t="s">
        <v>29</v>
      </c>
      <c r="B14" s="10">
        <v>0.5</v>
      </c>
    </row>
    <row r="15">
      <c r="A15" s="10" t="s">
        <v>74</v>
      </c>
      <c r="B15" s="10">
        <v>0.4</v>
      </c>
    </row>
    <row r="16">
      <c r="A16" s="10" t="s">
        <v>75</v>
      </c>
      <c r="B16" s="10">
        <v>25.0</v>
      </c>
    </row>
    <row r="17">
      <c r="A17" s="10" t="s">
        <v>76</v>
      </c>
      <c r="B17" s="10">
        <v>250.0</v>
      </c>
    </row>
    <row r="18">
      <c r="A18" s="10" t="s">
        <v>77</v>
      </c>
      <c r="B18" s="10">
        <v>102000.0</v>
      </c>
    </row>
    <row r="19">
      <c r="A19" s="8" t="s">
        <v>78</v>
      </c>
      <c r="B19" s="9">
        <f>B11*B12*B13*B14*(1-B15)-B11*B16*B17-B18</f>
        <v>1106400</v>
      </c>
    </row>
  </sheetData>
  <drawing r:id="rId1"/>
</worksheet>
</file>